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er Run Economics" sheetId="2" state="visible" r:id="rId2"/>
    <sheet xmlns:r="http://schemas.openxmlformats.org/officeDocument/2006/relationships" name="Pricing Sensitivity" sheetId="3" state="visible" r:id="rId3"/>
    <sheet xmlns:r="http://schemas.openxmlformats.org/officeDocument/2006/relationships" name="Method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[Red]($#,##0.00);-"/>
    <numFmt numFmtId="165" formatCode="#,##0.00;[Red](#,##0.00);-"/>
    <numFmt numFmtId="166" formatCode="0.0%"/>
    <numFmt numFmtId="167" formatCode="$#,##0.0000;[Red]($#,##0.0000);-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F4F4"/>
      </patternFill>
    </fill>
    <fill>
      <patternFill patternType="solid">
        <fgColor rgb="00D9E2F3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3" fillId="4" borderId="0" pivotButton="0" quotePrefix="0" xfId="0"/>
    <xf numFmtId="166" fontId="3" fillId="4" borderId="0" pivotButton="0" quotePrefix="0" xfId="0"/>
    <xf numFmtId="0" fontId="4" fillId="4" borderId="0" pivotButton="0" quotePrefix="0" xfId="0"/>
    <xf numFmtId="0" fontId="3" fillId="0" borderId="0" pivotButton="0" quotePrefix="0" xfId="0"/>
    <xf numFmtId="167" fontId="0" fillId="5" borderId="0" pivotButton="0" quotePrefix="0" xfId="0"/>
    <xf numFmtId="167" fontId="0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0" pivotButton="0" quotePrefix="0" xfId="0"/>
    <xf numFmtId="164" fontId="0" fillId="6" borderId="0" pivotButton="0" quotePrefix="0" xfId="0"/>
    <xf numFmtId="3" fontId="0" fillId="5" borderId="0" pivotButton="0" quotePrefix="0" xfId="0"/>
    <xf numFmtId="164" fontId="0" fillId="5" borderId="0" pivotButton="0" quotePrefix="0" xfId="0"/>
    <xf numFmtId="166" fontId="0" fillId="6" borderId="0" pivotButton="0" quotePrefix="0" xfId="0"/>
    <xf numFmtId="166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B4" authorId="0" shapeId="0">
      <text>
        <t>Source: https://platform.openai.com/docs/pricing/
Model: GPT-4o input pricing.
Code path: backend/config.py, backend/llm_factory.py</t>
      </text>
    </comment>
    <comment ref="B5" authorId="0" shapeId="0">
      <text>
        <t>Source: https://platform.openai.com/docs/pricing/
Model: GPT-4o output pricing.
Code path: backend/config.py, backend/llm_factory.py</t>
      </text>
    </comment>
    <comment ref="B6" authorId="0" shapeId="0">
      <text>
        <t>Source: https://platform.openai.com/docs/pricing/
Model: text-embedding-3-small pricing.
Code path: backend/rag/store.py</t>
      </text>
    </comment>
    <comment ref="B7" authorId="0" shapeId="0">
      <text>
        <t>Source: https://platform.openai.com/docs/pricing/
Model: whisper-1 pricing.
Code path: backend/voice_parser.py</t>
      </text>
    </comment>
    <comment ref="B8" authorId="0" shapeId="0">
      <text>
        <t>Source: /Users/yuvasrig/codex/investigateai/backend/workflow.py
Bull, Bear, Strategist nodes.</t>
      </text>
    </comment>
    <comment ref="B9" authorId="0" shapeId="0">
      <text>
        <t>Source: /Users/yuvasrig/codex/investigateai/backend/workflow.py
Judge node.</t>
      </text>
    </comment>
    <comment ref="B14" authorId="0" shapeId="0">
      <text>
        <t>Assumption only. Estimated fresh-document embedding volume for a cold ticker/day run.
Code path: backend/rag/retriever.py, backend/rag/store.py</t>
      </text>
    </comment>
    <comment ref="B15" authorId="0" shapeId="0">
      <text>
        <t>Source: /Users/yuvasrig/codex/investigateai/backend/services/cache_service.py
Exact result cache TTL is 5 minutes.</t>
      </text>
    </comment>
    <comment ref="B16" authorId="0" shapeId="0">
      <text>
        <t>Source: /Users/yuvasrig/codex/investigateai/backend/workflow.py
Analyst retries up to 3, judge up to 2. This is modeled as average text-cost uplift.</t>
      </text>
    </comment>
    <comment ref="B20" authorId="0" shapeId="0">
      <text>
        <t>Assumption only. Replace with actual infra bill.</t>
      </text>
    </comment>
    <comment ref="B21" authorId="0" shapeId="0">
      <text>
        <t>Assumption only. Replace with your actual FMP plan.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9" customWidth="1" min="3" max="3"/>
    <col width="42" customWidth="1" min="4" max="4"/>
  </cols>
  <sheetData>
    <row r="1">
      <c r="A1" s="1" t="inlineStr">
        <is>
          <t>InvestiGate Unit Economics Model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Notes</t>
        </is>
      </c>
    </row>
    <row r="4">
      <c r="A4" t="inlineStr">
        <is>
          <t>OpenAI GPT-4o input price</t>
        </is>
      </c>
      <c r="B4" s="3" t="n">
        <v>2.5</v>
      </c>
      <c r="C4" t="inlineStr">
        <is>
          <t>$ / 1M tokens</t>
        </is>
      </c>
      <c r="D4" t="inlineStr">
        <is>
          <t>Current assumption for GPT-4o input pricing.</t>
        </is>
      </c>
    </row>
    <row r="5">
      <c r="A5" t="inlineStr">
        <is>
          <t>OpenAI GPT-4o output price</t>
        </is>
      </c>
      <c r="B5" s="3" t="n">
        <v>10</v>
      </c>
      <c r="C5" t="inlineStr">
        <is>
          <t>$ / 1M tokens</t>
        </is>
      </c>
      <c r="D5" t="inlineStr">
        <is>
          <t>Current assumption for GPT-4o output pricing.</t>
        </is>
      </c>
    </row>
    <row r="6">
      <c r="A6" t="inlineStr">
        <is>
          <t>Embedding price</t>
        </is>
      </c>
      <c r="B6" s="3" t="n">
        <v>0.02</v>
      </c>
      <c r="C6" t="inlineStr">
        <is>
          <t>$ / 1M tokens</t>
        </is>
      </c>
      <c r="D6" t="inlineStr">
        <is>
          <t>text-embedding-3-small assumption.</t>
        </is>
      </c>
    </row>
    <row r="7">
      <c r="A7" t="inlineStr">
        <is>
          <t>Whisper transcription price</t>
        </is>
      </c>
      <c r="B7" s="3" t="n">
        <v>0.006</v>
      </c>
      <c r="C7" t="inlineStr">
        <is>
          <t>$ / minute</t>
        </is>
      </c>
      <c r="D7" t="inlineStr">
        <is>
          <t>whisper-1 assumption.</t>
        </is>
      </c>
    </row>
    <row r="8">
      <c r="A8" t="inlineStr">
        <is>
          <t>Analyst calls per run</t>
        </is>
      </c>
      <c r="B8" s="4" t="n">
        <v>3</v>
      </c>
      <c r="C8" t="inlineStr">
        <is>
          <t>count</t>
        </is>
      </c>
      <c r="D8" t="inlineStr">
        <is>
          <t>Bull, Bear, Strategist.</t>
        </is>
      </c>
    </row>
    <row r="9">
      <c r="A9" t="inlineStr">
        <is>
          <t>Judge calls per run</t>
        </is>
      </c>
      <c r="B9" s="4" t="n">
        <v>1</v>
      </c>
      <c r="C9" t="inlineStr">
        <is>
          <t>count</t>
        </is>
      </c>
      <c r="D9" t="inlineStr">
        <is>
          <t>One synthesis call.</t>
        </is>
      </c>
    </row>
    <row r="10">
      <c r="A10" t="inlineStr">
        <is>
          <t>Analyst input tokens per call</t>
        </is>
      </c>
      <c r="B10" s="4" t="n">
        <v>7000</v>
      </c>
      <c r="C10" t="inlineStr">
        <is>
          <t>tokens</t>
        </is>
      </c>
      <c r="D10" t="inlineStr">
        <is>
          <t>Typical with market data + RAG context.</t>
        </is>
      </c>
    </row>
    <row r="11">
      <c r="A11" t="inlineStr">
        <is>
          <t>Analyst output tokens per call</t>
        </is>
      </c>
      <c r="B11" s="4" t="n">
        <v>900</v>
      </c>
      <c r="C11" t="inlineStr">
        <is>
          <t>tokens</t>
        </is>
      </c>
      <c r="D11" t="inlineStr">
        <is>
          <t>Typical structured response size.</t>
        </is>
      </c>
    </row>
    <row r="12">
      <c r="A12" t="inlineStr">
        <is>
          <t>Judge input tokens per call</t>
        </is>
      </c>
      <c r="B12" s="4" t="n">
        <v>9000</v>
      </c>
      <c r="C12" t="inlineStr">
        <is>
          <t>tokens</t>
        </is>
      </c>
      <c r="D12" t="inlineStr">
        <is>
          <t>Receives all three reports + market data + RAG.</t>
        </is>
      </c>
    </row>
    <row r="13">
      <c r="A13" t="inlineStr">
        <is>
          <t>Judge output tokens per call</t>
        </is>
      </c>
      <c r="B13" s="4" t="n">
        <v>1500</v>
      </c>
      <c r="C13" t="inlineStr">
        <is>
          <t>tokens</t>
        </is>
      </c>
      <c r="D13" t="inlineStr">
        <is>
          <t>Recommendation + explanation.</t>
        </is>
      </c>
    </row>
    <row r="14">
      <c r="A14" t="inlineStr">
        <is>
          <t>Fresh RAG embedding tokens</t>
        </is>
      </c>
      <c r="B14" s="4" t="n">
        <v>20000</v>
      </c>
      <c r="C14" t="inlineStr">
        <is>
          <t>tokens</t>
        </is>
      </c>
      <c r="D14" t="inlineStr">
        <is>
          <t>Cold ticker/day incremental embedding estimate.</t>
        </is>
      </c>
    </row>
    <row r="15">
      <c r="A15" t="inlineStr">
        <is>
          <t>Voice query length</t>
        </is>
      </c>
      <c r="B15" s="4" t="n">
        <v>0.5</v>
      </c>
      <c r="C15" t="inlineStr">
        <is>
          <t>minutes</t>
        </is>
      </c>
      <c r="D15" t="inlineStr">
        <is>
          <t>30 second recording.</t>
        </is>
      </c>
    </row>
    <row r="16">
      <c r="A16" t="inlineStr">
        <is>
          <t>Retry uplift on text cost</t>
        </is>
      </c>
      <c r="B16" s="5" t="n">
        <v>0.1</v>
      </c>
      <c r="C16" t="inlineStr">
        <is>
          <t>%</t>
        </is>
      </c>
      <c r="D16" t="inlineStr">
        <is>
          <t>Expected average retry overhead.</t>
        </is>
      </c>
    </row>
    <row r="17">
      <c r="A17" t="inlineStr">
        <is>
          <t>Exact result cache hit rate</t>
        </is>
      </c>
      <c r="B17" s="5" t="n">
        <v>0.15</v>
      </c>
      <c r="C17" t="inlineStr">
        <is>
          <t>% of runs</t>
        </is>
      </c>
      <c r="D17" t="inlineStr">
        <is>
          <t>5 minute identical-query cache.</t>
        </is>
      </c>
    </row>
    <row r="18">
      <c r="A18" t="inlineStr">
        <is>
          <t>Warm RAG run rate</t>
        </is>
      </c>
      <c r="B18" s="5" t="n">
        <v>0.6</v>
      </c>
      <c r="C18" t="inlineStr">
        <is>
          <t>% of runs</t>
        </is>
      </c>
      <c r="D18" t="inlineStr">
        <is>
          <t>RAG docs already fresh; normal path.</t>
        </is>
      </c>
    </row>
    <row r="19">
      <c r="A19" t="inlineStr">
        <is>
          <t>Cold RAG run rate</t>
        </is>
      </c>
      <c r="B19" s="5" t="n">
        <v>0.2</v>
      </c>
      <c r="C19" t="inlineStr">
        <is>
          <t>% of runs</t>
        </is>
      </c>
      <c r="D19" t="inlineStr">
        <is>
          <t>Fresh SEC/news/FMP ingest needed.</t>
        </is>
      </c>
    </row>
    <row r="20">
      <c r="A20" t="inlineStr">
        <is>
          <t>Voice run rate</t>
        </is>
      </c>
      <c r="B20" s="5" t="n">
        <v>0.05</v>
      </c>
      <c r="C20" t="inlineStr">
        <is>
          <t>% of runs</t>
        </is>
      </c>
      <c r="D20" t="inlineStr">
        <is>
          <t>Subset of runs that include transcription.</t>
        </is>
      </c>
    </row>
    <row r="21">
      <c r="A21" t="inlineStr">
        <is>
          <t>Retry-heavy tail run rate</t>
        </is>
      </c>
      <c r="B21" s="5" t="n">
        <v>0.05</v>
      </c>
      <c r="C21" t="inlineStr">
        <is>
          <t>% of runs</t>
        </is>
      </c>
      <c r="D21" t="inlineStr">
        <is>
          <t>Upper tail of retries / long outputs.</t>
        </is>
      </c>
    </row>
    <row r="22">
      <c r="A22" t="inlineStr">
        <is>
          <t>Monthly fixed infra cost</t>
        </is>
      </c>
      <c r="B22" s="3" t="n">
        <v>35</v>
      </c>
      <c r="C22" t="inlineStr">
        <is>
          <t>$ / month</t>
        </is>
      </c>
      <c r="D22" t="inlineStr">
        <is>
          <t>Domain, tunnel/runtime, misc infra placeholder.</t>
        </is>
      </c>
    </row>
    <row r="23">
      <c r="A23" t="inlineStr">
        <is>
          <t>Monthly FMP subscription</t>
        </is>
      </c>
      <c r="B23" s="3" t="n">
        <v>19</v>
      </c>
      <c r="C23" t="inlineStr">
        <is>
          <t>$ / month</t>
        </is>
      </c>
      <c r="D23" t="inlineStr">
        <is>
          <t>Editable fixed cost assumption.</t>
        </is>
      </c>
    </row>
    <row r="24">
      <c r="A24" t="inlineStr">
        <is>
          <t>Subscription price per user</t>
        </is>
      </c>
      <c r="B24" s="3" t="n">
        <v>20</v>
      </c>
      <c r="C24" t="inlineStr">
        <is>
          <t>$ / user / month</t>
        </is>
      </c>
      <c r="D24" t="inlineStr">
        <is>
          <t>Editable revenue assumption.</t>
        </is>
      </c>
    </row>
    <row r="25">
      <c r="A25" t="inlineStr">
        <is>
          <t>Analyses per active user per month</t>
        </is>
      </c>
      <c r="B25" s="4" t="n">
        <v>20</v>
      </c>
      <c r="C25" t="inlineStr">
        <is>
          <t>runs</t>
        </is>
      </c>
      <c r="D25" t="inlineStr">
        <is>
          <t>Typical usage assumption.</t>
        </is>
      </c>
    </row>
    <row r="26">
      <c r="A26" t="inlineStr">
        <is>
          <t>Monthly active users</t>
        </is>
      </c>
      <c r="B26" s="4" t="n">
        <v>100</v>
      </c>
      <c r="C26" t="inlineStr">
        <is>
          <t>users</t>
        </is>
      </c>
      <c r="D26" t="inlineStr">
        <is>
          <t>Editable scale assumption.</t>
        </is>
      </c>
    </row>
    <row r="29">
      <c r="A29" s="6" t="inlineStr">
        <is>
          <t>Check</t>
        </is>
      </c>
      <c r="B29" s="7">
        <f>SUM(B17:B21)</f>
        <v/>
      </c>
      <c r="C29" s="8" t="inlineStr">
        <is>
          <t>Should equal 100%</t>
        </is>
      </c>
      <c r="D29" s="8" t="inlineStr">
        <is>
          <t>Run-mix sanity check.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41" customWidth="1" min="3" max="3"/>
    <col width="33" customWidth="1" min="4" max="4"/>
    <col width="21" customWidth="1" min="5" max="5"/>
    <col width="42" customWidth="1" min="6" max="6"/>
  </cols>
  <sheetData>
    <row r="1">
      <c r="A1" s="1" t="inlineStr">
        <is>
          <t>Per-Run Unit Economics</t>
        </is>
      </c>
    </row>
    <row r="3">
      <c r="A3" s="2" t="inlineStr">
        <is>
          <t>Scenario</t>
        </is>
      </c>
      <c r="B3" s="2" t="inlineStr">
        <is>
          <t>LLM Text Cost</t>
        </is>
      </c>
      <c r="C3" s="2" t="inlineStr">
        <is>
          <t>Embedding Cost</t>
        </is>
      </c>
      <c r="D3" s="2" t="inlineStr">
        <is>
          <t>Voice Cost</t>
        </is>
      </c>
      <c r="E3" s="2" t="inlineStr">
        <is>
          <t>Total Variable Cost</t>
        </is>
      </c>
      <c r="F3" s="2" t="inlineStr">
        <is>
          <t>Notes</t>
        </is>
      </c>
    </row>
    <row r="4">
      <c r="A4" s="9" t="inlineStr">
        <is>
          <t>Exact cache hit</t>
        </is>
      </c>
      <c r="B4" s="10">
        <f>0</f>
        <v/>
      </c>
      <c r="C4" s="10">
        <f>0</f>
        <v/>
      </c>
      <c r="D4" s="10">
        <f>0</f>
        <v/>
      </c>
      <c r="E4" s="11">
        <f>SUM(B4:D4)</f>
        <v/>
      </c>
      <c r="F4" s="12" t="inlineStr">
        <is>
          <t>Identical query served from 5-minute result cache.</t>
        </is>
      </c>
    </row>
    <row r="5">
      <c r="A5" s="9" t="inlineStr">
        <is>
          <t>Warm text analysis</t>
        </is>
      </c>
      <c r="B5" s="10">
        <f>(((Assumptions!B8*Assumptions!B10)+(Assumptions!B9*Assumptions!B12))*Assumptions!B4 + ((Assumptions!B8*Assumptions!B11)+(Assumptions!B9*Assumptions!B13))*Assumptions!B5)/1000000*(1+Assumptions!B16)</f>
        <v/>
      </c>
      <c r="C5" s="10">
        <f>0</f>
        <v/>
      </c>
      <c r="D5" s="10">
        <f>0</f>
        <v/>
      </c>
      <c r="E5" s="11">
        <f>SUM(B5:D5)</f>
        <v/>
      </c>
      <c r="F5" s="12" t="inlineStr">
        <is>
          <t>Fresh market fetch + fresh-enough RAG docs.</t>
        </is>
      </c>
    </row>
    <row r="6">
      <c r="A6" s="9" t="inlineStr">
        <is>
          <t>Cold ticker/day analysis</t>
        </is>
      </c>
      <c r="B6" s="10">
        <f>B5</f>
        <v/>
      </c>
      <c r="C6" s="10">
        <f>Assumptions!B14*Assumptions!B6/1000000</f>
        <v/>
      </c>
      <c r="D6" s="10">
        <f>0</f>
        <v/>
      </c>
      <c r="E6" s="11">
        <f>SUM(B6:D6)</f>
        <v/>
      </c>
      <c r="F6" s="12" t="inlineStr">
        <is>
          <t>Warm text path plus fresh embeddings for new/stale docs.</t>
        </is>
      </c>
    </row>
    <row r="7">
      <c r="A7" s="9" t="inlineStr">
        <is>
          <t>Voice analysis</t>
        </is>
      </c>
      <c r="B7" s="10">
        <f>B5</f>
        <v/>
      </c>
      <c r="C7" s="10">
        <f>0</f>
        <v/>
      </c>
      <c r="D7" s="10">
        <f>Assumptions!B15*Assumptions!B7</f>
        <v/>
      </c>
      <c r="E7" s="11">
        <f>SUM(B7:D7)</f>
        <v/>
      </c>
      <c r="F7" s="12" t="inlineStr">
        <is>
          <t>Warm text path plus transcription.</t>
        </is>
      </c>
    </row>
    <row r="8">
      <c r="A8" s="9" t="inlineStr">
        <is>
          <t>Retry-heavy tail</t>
        </is>
      </c>
      <c r="B8" s="10">
        <f>B5*2.5</f>
        <v/>
      </c>
      <c r="C8" s="10">
        <f>C6</f>
        <v/>
      </c>
      <c r="D8" s="10">
        <f>0</f>
        <v/>
      </c>
      <c r="E8" s="11">
        <f>SUM(B8:D8)</f>
        <v/>
      </c>
      <c r="F8" s="12" t="inlineStr">
        <is>
          <t>Tail case with multiple retries / longer outputs.</t>
        </is>
      </c>
    </row>
    <row r="11">
      <c r="A11" s="13" t="inlineStr">
        <is>
          <t>Weighted average variable cost / run</t>
        </is>
      </c>
      <c r="B11" s="14">
        <f>SUMPRODUCT(E4:E8,Assumptions!B17:B21)</f>
        <v/>
      </c>
    </row>
    <row r="12">
      <c r="A12" s="13" t="inlineStr">
        <is>
          <t>Blended monthly analyses</t>
        </is>
      </c>
      <c r="B12" s="15">
        <f>Assumptions!B25*Assumptions!B26</f>
        <v/>
      </c>
    </row>
    <row r="13">
      <c r="A13" s="13" t="inlineStr">
        <is>
          <t>Blended monthly variable cost</t>
        </is>
      </c>
      <c r="B13" s="16">
        <f>B11*B12</f>
        <v/>
      </c>
    </row>
    <row r="14">
      <c r="A14" s="13" t="inlineStr">
        <is>
          <t>Total monthly fixed cost</t>
        </is>
      </c>
      <c r="B14" s="16">
        <f>Assumptions!B22+Assumptions!B23</f>
        <v/>
      </c>
    </row>
    <row r="15">
      <c r="A15" s="13" t="inlineStr">
        <is>
          <t>All-in monthly cost</t>
        </is>
      </c>
      <c r="B15" s="14">
        <f>B13+B14</f>
        <v/>
      </c>
    </row>
    <row r="16">
      <c r="A16" s="13" t="inlineStr">
        <is>
          <t>Revenue / month</t>
        </is>
      </c>
      <c r="B16" s="14">
        <f>Assumptions!B24*Assumptions!B26</f>
        <v/>
      </c>
    </row>
    <row r="17">
      <c r="A17" s="13" t="inlineStr">
        <is>
          <t>Gross profit / month</t>
        </is>
      </c>
      <c r="B17" s="14">
        <f>B16-B15</f>
        <v/>
      </c>
    </row>
    <row r="18">
      <c r="A18" s="13" t="inlineStr">
        <is>
          <t>Gross margin %</t>
        </is>
      </c>
      <c r="B18" s="17">
        <f>IFERROR(B17/B16,0)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Pricing and Usage Sensitivity</t>
        </is>
      </c>
    </row>
    <row r="3">
      <c r="A3" s="2" t="inlineStr">
        <is>
          <t>Users \ Price</t>
        </is>
      </c>
      <c r="B3" s="2" t="n">
        <v>10</v>
      </c>
      <c r="C3" s="2" t="n">
        <v>15</v>
      </c>
      <c r="D3" s="2" t="n">
        <v>20</v>
      </c>
      <c r="E3" s="2" t="n">
        <v>25</v>
      </c>
      <c r="F3" s="2" t="n">
        <v>30</v>
      </c>
    </row>
    <row r="4">
      <c r="A4" s="2" t="n">
        <v>50</v>
      </c>
      <c r="B4" s="18">
        <f>IFERROR(((B3*A4)-(('Per Run Economics'!$B$11*Assumptions!$B$25*A4)+(Assumptions!$B$22+Assumptions!$B$23)))/(B3*A4),0)</f>
        <v/>
      </c>
      <c r="C4" s="18">
        <f>IFERROR(((C3*A4)-(('Per Run Economics'!$B$11*Assumptions!$B$25*A4)+(Assumptions!$B$22+Assumptions!$B$23)))/(C3*A4),0)</f>
        <v/>
      </c>
      <c r="D4" s="18">
        <f>IFERROR(((D3*A4)-(('Per Run Economics'!$B$11*Assumptions!$B$25*A4)+(Assumptions!$B$22+Assumptions!$B$23)))/(D3*A4),0)</f>
        <v/>
      </c>
      <c r="E4" s="18">
        <f>IFERROR(((E3*A4)-(('Per Run Economics'!$B$11*Assumptions!$B$25*A4)+(Assumptions!$B$22+Assumptions!$B$23)))/(E3*A4),0)</f>
        <v/>
      </c>
      <c r="F4" s="18">
        <f>IFERROR(((F3*A4)-(('Per Run Economics'!$B$11*Assumptions!$B$25*A4)+(Assumptions!$B$22+Assumptions!$B$23)))/(F3*A4),0)</f>
        <v/>
      </c>
    </row>
    <row r="5">
      <c r="A5" s="2" t="n">
        <v>100</v>
      </c>
      <c r="B5" s="18">
        <f>IFERROR(((B3*A5)-(('Per Run Economics'!$B$11*Assumptions!$B$25*A5)+(Assumptions!$B$22+Assumptions!$B$23)))/(B3*A5),0)</f>
        <v/>
      </c>
      <c r="C5" s="18">
        <f>IFERROR(((C3*A5)-(('Per Run Economics'!$B$11*Assumptions!$B$25*A5)+(Assumptions!$B$22+Assumptions!$B$23)))/(C3*A5),0)</f>
        <v/>
      </c>
      <c r="D5" s="18">
        <f>IFERROR(((D3*A5)-(('Per Run Economics'!$B$11*Assumptions!$B$25*A5)+(Assumptions!$B$22+Assumptions!$B$23)))/(D3*A5),0)</f>
        <v/>
      </c>
      <c r="E5" s="18">
        <f>IFERROR(((E3*A5)-(('Per Run Economics'!$B$11*Assumptions!$B$25*A5)+(Assumptions!$B$22+Assumptions!$B$23)))/(E3*A5),0)</f>
        <v/>
      </c>
      <c r="F5" s="18">
        <f>IFERROR(((F3*A5)-(('Per Run Economics'!$B$11*Assumptions!$B$25*A5)+(Assumptions!$B$22+Assumptions!$B$23)))/(F3*A5),0)</f>
        <v/>
      </c>
    </row>
    <row r="6">
      <c r="A6" s="2" t="n">
        <v>250</v>
      </c>
      <c r="B6" s="18">
        <f>IFERROR(((B3*A6)-(('Per Run Economics'!$B$11*Assumptions!$B$25*A6)+(Assumptions!$B$22+Assumptions!$B$23)))/(B3*A6),0)</f>
        <v/>
      </c>
      <c r="C6" s="18">
        <f>IFERROR(((C3*A6)-(('Per Run Economics'!$B$11*Assumptions!$B$25*A6)+(Assumptions!$B$22+Assumptions!$B$23)))/(C3*A6),0)</f>
        <v/>
      </c>
      <c r="D6" s="18">
        <f>IFERROR(((D3*A6)-(('Per Run Economics'!$B$11*Assumptions!$B$25*A6)+(Assumptions!$B$22+Assumptions!$B$23)))/(D3*A6),0)</f>
        <v/>
      </c>
      <c r="E6" s="18">
        <f>IFERROR(((E3*A6)-(('Per Run Economics'!$B$11*Assumptions!$B$25*A6)+(Assumptions!$B$22+Assumptions!$B$23)))/(E3*A6),0)</f>
        <v/>
      </c>
      <c r="F6" s="18">
        <f>IFERROR(((F3*A6)-(('Per Run Economics'!$B$11*Assumptions!$B$25*A6)+(Assumptions!$B$22+Assumptions!$B$23)))/(F3*A6),0)</f>
        <v/>
      </c>
    </row>
    <row r="7">
      <c r="A7" s="2" t="n">
        <v>500</v>
      </c>
      <c r="B7" s="18">
        <f>IFERROR(((B3*A7)-(('Per Run Economics'!$B$11*Assumptions!$B$25*A7)+(Assumptions!$B$22+Assumptions!$B$23)))/(B3*A7),0)</f>
        <v/>
      </c>
      <c r="C7" s="18">
        <f>IFERROR(((C3*A7)-(('Per Run Economics'!$B$11*Assumptions!$B$25*A7)+(Assumptions!$B$22+Assumptions!$B$23)))/(C3*A7),0)</f>
        <v/>
      </c>
      <c r="D7" s="18">
        <f>IFERROR(((D3*A7)-(('Per Run Economics'!$B$11*Assumptions!$B$25*A7)+(Assumptions!$B$22+Assumptions!$B$23)))/(D3*A7),0)</f>
        <v/>
      </c>
      <c r="E7" s="18">
        <f>IFERROR(((E3*A7)-(('Per Run Economics'!$B$11*Assumptions!$B$25*A7)+(Assumptions!$B$22+Assumptions!$B$23)))/(E3*A7),0)</f>
        <v/>
      </c>
      <c r="F7" s="18">
        <f>IFERROR(((F3*A7)-(('Per Run Economics'!$B$11*Assumptions!$B$25*A7)+(Assumptions!$B$22+Assumptions!$B$23)))/(F3*A7),0)</f>
        <v/>
      </c>
    </row>
    <row r="8">
      <c r="A8" s="2" t="n">
        <v>1000</v>
      </c>
      <c r="B8" s="18">
        <f>IFERROR(((B3*A8)-(('Per Run Economics'!$B$11*Assumptions!$B$25*A8)+(Assumptions!$B$22+Assumptions!$B$23)))/(B3*A8),0)</f>
        <v/>
      </c>
      <c r="C8" s="18">
        <f>IFERROR(((C3*A8)-(('Per Run Economics'!$B$11*Assumptions!$B$25*A8)+(Assumptions!$B$22+Assumptions!$B$23)))/(C3*A8),0)</f>
        <v/>
      </c>
      <c r="D8" s="18">
        <f>IFERROR(((D3*A8)-(('Per Run Economics'!$B$11*Assumptions!$B$25*A8)+(Assumptions!$B$22+Assumptions!$B$23)))/(D3*A8),0)</f>
        <v/>
      </c>
      <c r="E8" s="18">
        <f>IFERROR(((E3*A8)-(('Per Run Economics'!$B$11*Assumptions!$B$25*A8)+(Assumptions!$B$22+Assumptions!$B$23)))/(E3*A8),0)</f>
        <v/>
      </c>
      <c r="F8" s="18">
        <f>IFERROR(((F3*A8)-(('Per Run Economics'!$B$11*Assumptions!$B$25*A8)+(Assumptions!$B$22+Assumptions!$B$23)))/(F3*A8),0)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Method Notes</t>
        </is>
      </c>
    </row>
    <row r="3">
      <c r="A3" s="12" t="inlineStr">
        <is>
          <t>This model is formula-driven. Change green input cells on the Assumptions sheet.</t>
        </is>
      </c>
    </row>
    <row r="4">
      <c r="A4" s="12" t="inlineStr">
        <is>
          <t>Exact result cache is based on the 5-minute in-memory cache in backend/services/cache_service.py.</t>
        </is>
      </c>
    </row>
    <row r="5">
      <c r="A5" s="12" t="inlineStr">
        <is>
          <t>Warm vs cold RAG depends on the 24-hour RAG document TTL in backend/rag/store.py.</t>
        </is>
      </c>
    </row>
    <row r="6">
      <c r="A6" s="12" t="inlineStr">
        <is>
          <t>Per-run workflow currently includes 3 analyst calls and 1 judge call in backend/workflow.py.</t>
        </is>
      </c>
    </row>
    <row r="7">
      <c r="A7" s="12" t="inlineStr">
        <is>
          <t>Fresh ticker/day runs add embedding cost, but embeddings are a small share of total variable cost.</t>
        </is>
      </c>
    </row>
    <row r="8">
      <c r="A8" s="12" t="inlineStr">
        <is>
          <t>FMP is modeled as fixed monthly cost because the code uses plan/quota endpoints, not metered per-call billing.</t>
        </is>
      </c>
    </row>
    <row r="9">
      <c r="A9" s="12" t="inlineStr">
        <is>
          <t>Retry-heavy cases matter; analysts can retry up to 3x and judge up to 2x.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2026-03-14T06:09:04Z</dcterms:created>
  <dcterms:modified xmlns:dcterms="http://purl.org/dc/terms/" xmlns:xsi="http://www.w3.org/2001/XMLSchema-instance" xsi:type="dcterms:W3CDTF">2026-03-14T06:09:30Z</dcterms:modified>
</cp:coreProperties>
</file>